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Parts" sheetId="3" state="visible" r:id="rId5"/>
    <sheet name="Prototypes" sheetId="4" state="visible" r:id="rId6"/>
    <sheet name="Per unit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<sst xmlns="http://schemas.openxmlformats.org/spreadsheetml/2006/main" count="210" uniqueCount="182">
  <si>
    <t xml:space="preserve">Lumi PCB v1: budget</t>
  </si>
  <si>
    <t xml:space="preserve">Prices checked 2026-10-30. Change inputs on the Inputs and Parts tabs; everything here updates.</t>
  </si>
  <si>
    <t xml:space="preserve">USD</t>
  </si>
  <si>
    <t xml:space="preserve">CAD</t>
  </si>
  <si>
    <t xml:space="preserve">Prototype run A, all in</t>
  </si>
  <si>
    <t xml:space="preserve">... per prototype</t>
  </si>
  <si>
    <t xml:space="preserve">Prototype run B, all in</t>
  </si>
  <si>
    <t xml:space="preserve">One Lumi in a 100 run</t>
  </si>
  <si>
    <t xml:space="preserve">One Lumi in a 1,000 run</t>
  </si>
  <si>
    <t xml:space="preserve">Run A boards</t>
  </si>
  <si>
    <t xml:space="preserve">Run B boards</t>
  </si>
  <si>
    <t xml:space="preserve">Exchange rate (CAD per USD)</t>
  </si>
  <si>
    <t xml:space="preserve">GST on imports</t>
  </si>
  <si>
    <t xml:space="preserve">Colour key</t>
  </si>
  <si>
    <t xml:space="preserve">Blue text: an input you can change</t>
  </si>
  <si>
    <t xml:space="preserve">Black text: a formula</t>
  </si>
  <si>
    <t xml:space="preserve">Green text: a value pulled from another tab</t>
  </si>
  <si>
    <t xml:space="preserve">Yellow fill: key assumption</t>
  </si>
  <si>
    <t xml:space="preserve">Includes: board built by JLCPCB, screen, battery, printed case,</t>
  </si>
  <si>
    <t xml:space="preserve">shipping to Canada, GST and courier brokerage.</t>
  </si>
  <si>
    <t xml:space="preserve">Excludes: tools, certification, packaging and your time.</t>
  </si>
  <si>
    <t xml:space="preserve">Inputs: edit the blue cells</t>
  </si>
  <si>
    <t xml:space="preserve">Prices in USD, checked 2026-10-30. Yellow = key assumptions.</t>
  </si>
  <si>
    <t xml:space="preserve">Assumption</t>
  </si>
  <si>
    <t xml:space="preserve">Value</t>
  </si>
  <si>
    <t xml:space="preserve">Note</t>
  </si>
  <si>
    <t xml:space="preserve">Exchange rate (CAD per 1 USD)</t>
  </si>
  <si>
    <t xml:space="preserve">About 1.40-1.43 through October 2026 (moneyexchangerate.org).</t>
  </si>
  <si>
    <t xml:space="preserve">Federal GST. HST provinces pay 13-15% instead: change this.</t>
  </si>
  <si>
    <t xml:space="preserve">Courier brokerage per parcel (CAD)</t>
  </si>
  <si>
    <t xml:space="preserve">Forum reports of DHL/UPS clearance fees for Canada.</t>
  </si>
  <si>
    <t xml:space="preserve">Courier parcels per prototype run</t>
  </si>
  <si>
    <t xml:space="preserve">JLCPCB boards + screens; batteries come by ground post.</t>
  </si>
  <si>
    <t xml:space="preserve">JLCPCB assembly</t>
  </si>
  <si>
    <t xml:space="preserve">Economic assembly setup (per order)</t>
  </si>
  <si>
    <t xml:space="preserve">JLCPCB help: PCB assembly price.</t>
  </si>
  <si>
    <t xml:space="preserve">Stencil (per order)</t>
  </si>
  <si>
    <t xml:space="preserve">Extended part types on the board</t>
  </si>
  <si>
    <t xml:space="preserve">U1-U4, D1, J1, J2, SW1.</t>
  </si>
  <si>
    <t xml:space="preserve">Fee per Extended part type</t>
  </si>
  <si>
    <t xml:space="preserve">Official FAQ says $3; one source says $1.50 since Dec 2025.</t>
  </si>
  <si>
    <t xml:space="preserve">Hand-soldering setup (USB-C shell legs)</t>
  </si>
  <si>
    <t xml:space="preserve">JLCPCB help.</t>
  </si>
  <si>
    <t xml:space="preserve">Standard assembly setup (100+ runs)</t>
  </si>
  <si>
    <t xml:space="preserve">JLCPCB help (older price page).</t>
  </si>
  <si>
    <t xml:space="preserve">SMT solder joints per board</t>
  </si>
  <si>
    <t xml:space="preserve">Counted from the board's pads (approx.).</t>
  </si>
  <si>
    <t xml:space="preserve">Cost per SMT joint</t>
  </si>
  <si>
    <t xml:space="preserve">JLCPCB Economic assembly.</t>
  </si>
  <si>
    <t xml:space="preserve">Hand-soldered joints per board</t>
  </si>
  <si>
    <t xml:space="preserve">USB-C shell legs.</t>
  </si>
  <si>
    <t xml:space="preserve">Cost per hand-soldered joint</t>
  </si>
  <si>
    <t xml:space="preserve">Bare boards (31 x 33 mm, 2 layers, 1.0 mm)</t>
  </si>
  <si>
    <t xml:space="preserve">Order of 5 boards</t>
  </si>
  <si>
    <t xml:space="preserve">Estimate; $2 offer is for 1.6 mm boards.</t>
  </si>
  <si>
    <t xml:space="preserve">Order of 10 boards</t>
  </si>
  <si>
    <t xml:space="preserve">Estimate.</t>
  </si>
  <si>
    <t xml:space="preserve">Per board at 100</t>
  </si>
  <si>
    <t xml:space="preserve">Per board at 1,000</t>
  </si>
  <si>
    <t xml:space="preserve">Shipping</t>
  </si>
  <si>
    <t xml:space="preserve">JLCPCB boards to Canada (DHL)</t>
  </si>
  <si>
    <t xml:space="preserve">Forum reports: ~$17-25 for small orders.</t>
  </si>
  <si>
    <t xml:space="preserve">Screens from BuyDisplay</t>
  </si>
  <si>
    <t xml:space="preserve">Batteries (AliExpress, ground)</t>
  </si>
  <si>
    <t xml:space="preserve">Shipping share per unit at 100</t>
  </si>
  <si>
    <t xml:space="preserve">Estimate (air freight).</t>
  </si>
  <si>
    <t xml:space="preserve">Shipping share per unit at 1,000</t>
  </si>
  <si>
    <t xml:space="preserve">Parts: price each (USD) by how many you buy</t>
  </si>
  <si>
    <t xml:space="preserve">Blue = edit. Prices from LCSC/JLCPCB listings; 'Yes' in Estimate = no live quote seen.</t>
  </si>
  <si>
    <t xml:space="preserve">Ref</t>
  </si>
  <si>
    <t xml:space="preserve">Part</t>
  </si>
  <si>
    <t xml:space="preserve">LCSC</t>
  </si>
  <si>
    <t xml:space="preserve">5-10 boards</t>
  </si>
  <si>
    <t xml:space="preserve">100</t>
  </si>
  <si>
    <t xml:space="preserve">1,000</t>
  </si>
  <si>
    <t xml:space="preserve">Estimate?</t>
  </si>
  <si>
    <t xml:space="preserve">U1</t>
  </si>
  <si>
    <t xml:space="preserve">ESP32-C3-WROOM-02-N4 module</t>
  </si>
  <si>
    <t xml:space="preserve">C2934560</t>
  </si>
  <si>
    <t xml:space="preserve">No</t>
  </si>
  <si>
    <t xml:space="preserve">U2</t>
  </si>
  <si>
    <t xml:space="preserve">LIS2DH12TR accelerometer</t>
  </si>
  <si>
    <t xml:space="preserve">C110926</t>
  </si>
  <si>
    <t xml:space="preserve">J2</t>
  </si>
  <si>
    <t xml:space="preserve">Hirose FH12-30S-0.5SH screen connector</t>
  </si>
  <si>
    <t xml:space="preserve">C506793</t>
  </si>
  <si>
    <t xml:space="preserve">Yes</t>
  </si>
  <si>
    <t xml:space="preserve">D1</t>
  </si>
  <si>
    <t xml:space="preserve">USBLC6-2SC6 USB ESD</t>
  </si>
  <si>
    <t xml:space="preserve">C7519</t>
  </si>
  <si>
    <t xml:space="preserve">J1</t>
  </si>
  <si>
    <t xml:space="preserve">USB-C receptacle TYPE-C-31-M-12</t>
  </si>
  <si>
    <t xml:space="preserve">C165948</t>
  </si>
  <si>
    <t xml:space="preserve">U4</t>
  </si>
  <si>
    <t xml:space="preserve">RT9080-33GJ5 3.3 V regulator</t>
  </si>
  <si>
    <t xml:space="preserve">C841192</t>
  </si>
  <si>
    <t xml:space="preserve">U3</t>
  </si>
  <si>
    <t xml:space="preserve">TP4054 charger</t>
  </si>
  <si>
    <t xml:space="preserve">C32574</t>
  </si>
  <si>
    <t xml:space="preserve">SW1</t>
  </si>
  <si>
    <t xml:space="preserve">MSK12C02 slide switch</t>
  </si>
  <si>
    <t xml:space="preserve">C431540</t>
  </si>
  <si>
    <t xml:space="preserve">R/C</t>
  </si>
  <si>
    <t xml:space="preserve">27 resistors and capacitors (JLCPCB Basic)</t>
  </si>
  <si>
    <t xml:space="preserve">various</t>
  </si>
  <si>
    <t xml:space="preserve">Board parts, per board</t>
  </si>
  <si>
    <t xml:space="preserve">Item</t>
  </si>
  <si>
    <t xml:space="preserve">5-10 units</t>
  </si>
  <si>
    <t xml:space="preserve">Screen</t>
  </si>
  <si>
    <t xml:space="preserve">BuyDisplay ER-OLED0.96-1 plug-in OLED</t>
  </si>
  <si>
    <t xml:space="preserve">1,000: est. factory quote</t>
  </si>
  <si>
    <t xml:space="preserve">Battery</t>
  </si>
  <si>
    <t xml:space="preserve">503030 LiPo ~500 mAh, protected, UN38.3</t>
  </si>
  <si>
    <t xml:space="preserve">est.</t>
  </si>
  <si>
    <t xml:space="preserve">Case</t>
  </si>
  <si>
    <t xml:space="preserve">Mini Lumi PCB case, PLA, ~17 g at $25/kg</t>
  </si>
  <si>
    <t xml:space="preserve">your printer; ~2.5 h</t>
  </si>
  <si>
    <t xml:space="preserve">Sundries</t>
  </si>
  <si>
    <t xml:space="preserve">foam tape, Kapton, battery wire</t>
  </si>
  <si>
    <t xml:space="preserve">Prototype runs, all in</t>
  </si>
  <si>
    <t xml:space="preserve">Edit the quantities in row 4 (blue). Bare-board order prices are on Inputs.</t>
  </si>
  <si>
    <t xml:space="preserve">Run A (USD)</t>
  </si>
  <si>
    <t xml:space="preserve">Run A (CAD)</t>
  </si>
  <si>
    <t xml:space="preserve">Run B (USD)</t>
  </si>
  <si>
    <t xml:space="preserve">Run B (CAD)</t>
  </si>
  <si>
    <t xml:space="preserve">Boards in the run</t>
  </si>
  <si>
    <t xml:space="preserve">Board parts</t>
  </si>
  <si>
    <t xml:space="preserve">Assembly (solder joints)</t>
  </si>
  <si>
    <t xml:space="preserve">Bare boards (one order)</t>
  </si>
  <si>
    <t xml:space="preserve">Assembly setup, stencil, Extended-part fees</t>
  </si>
  <si>
    <t xml:space="preserve">Screens</t>
  </si>
  <si>
    <t xml:space="preserve">Batteries</t>
  </si>
  <si>
    <t xml:space="preserve">Cases (printed) and sundries</t>
  </si>
  <si>
    <t xml:space="preserve">Shipping: JLCPCB boards (DHL)</t>
  </si>
  <si>
    <t xml:space="preserve">Shipping: screens</t>
  </si>
  <si>
    <t xml:space="preserve">Shipping: batteries</t>
  </si>
  <si>
    <t xml:space="preserve">Courier brokerage</t>
  </si>
  <si>
    <t xml:space="preserve">Total</t>
  </si>
  <si>
    <t xml:space="preserve">Per prototype</t>
  </si>
  <si>
    <t xml:space="preserve">Fixed costs (setup, stencil, Extended-part fees, shipping) are the same for any run size, which is why 10 boards cost far less than twice 5.</t>
  </si>
  <si>
    <t xml:space="preserve">Cost of one Lumi at volume</t>
  </si>
  <si>
    <t xml:space="preserve">Uses the 100 and 1,000 price columns on Parts. Edit run sizes in row 4.</t>
  </si>
  <si>
    <t xml:space="preserve">100 run (USD)</t>
  </si>
  <si>
    <t xml:space="preserve">100 run (CAD)</t>
  </si>
  <si>
    <t xml:space="preserve">1,000 run (USD)</t>
  </si>
  <si>
    <t xml:space="preserve">1,000 run (CAD)</t>
  </si>
  <si>
    <t xml:space="preserve">Units in the run</t>
  </si>
  <si>
    <t xml:space="preserve">Bare board</t>
  </si>
  <si>
    <t xml:space="preserve">Assembly setup and fees, shared</t>
  </si>
  <si>
    <t xml:space="preserve">Case and sundries</t>
  </si>
  <si>
    <t xml:space="preserve">Shipping share</t>
  </si>
  <si>
    <t xml:space="preserve">Per unit</t>
  </si>
  <si>
    <t xml:space="preserve">Whole run</t>
  </si>
  <si>
    <t xml:space="preserve">Sources</t>
  </si>
  <si>
    <t xml:space="preserve">What</t>
  </si>
  <si>
    <t xml:space="preserve">Link</t>
  </si>
  <si>
    <t xml:space="preserve">JLCPCB: what the PCB assembly price includes</t>
  </si>
  <si>
    <t xml:space="preserve">https://jlcpcb.com/help/article/pcb-assembly-price</t>
  </si>
  <si>
    <t xml:space="preserve">JLCPCB PCBA price overview (feeder fee change)</t>
  </si>
  <si>
    <t xml:space="preserve">https://techoverflow.net/2024/04/09/jlcpcb-pcba-assembly-price-overview/</t>
  </si>
  <si>
    <t xml:space="preserve">JLCPCB $2 PCB offer</t>
  </si>
  <si>
    <t xml:space="preserve">https://jlcpcb.com/blog/free-assembly-for-1-6-layer-pcbs-and-discounts-on-8-20-layer-pcba</t>
  </si>
  <si>
    <t xml:space="preserve">ESP32-C3-WROOM-02-N4 on LCSC</t>
  </si>
  <si>
    <t xml:space="preserve">https://www.lcsc.com/product-detail/WiFi-Modules_Espressif-Systems-ESP32-C3-WROOM-02-N4_C2934560.html</t>
  </si>
  <si>
    <t xml:space="preserve">LIS2DH12TR on LCSC</t>
  </si>
  <si>
    <t xml:space="preserve">https://www.lcsc.com/product-image/C110926.html</t>
  </si>
  <si>
    <t xml:space="preserve">TYPE-C-31-M-12 on LCSC</t>
  </si>
  <si>
    <t xml:space="preserve">https://lcsc.com/product-detail/USB-Connectors_Korean-Hroparts-Elec-TYPE-C-31-M-12_C165948.html</t>
  </si>
  <si>
    <t xml:space="preserve">Hirose FH12-30S-0.5SH on LCSC</t>
  </si>
  <si>
    <t xml:space="preserve">https://lcsc.com/product-detail/FFC-FPC-Flat-Flexible-Connector-Assemblies_HRS-Hirose-FH12-30S-0-5SH-55_C506793.html</t>
  </si>
  <si>
    <t xml:space="preserve">USBLC6-2SC6 on JLCPCB</t>
  </si>
  <si>
    <t xml:space="preserve">https://jlcpcb.com/partdetail/C7519</t>
  </si>
  <si>
    <t xml:space="preserve">BuyDisplay ER-OLED0.96-1</t>
  </si>
  <si>
    <t xml:space="preserve">https://buydisplay.com/blue-128x64-0-96-inch-oled-display-top-contact-connector-fpc-ssd1306</t>
  </si>
  <si>
    <t xml:space="preserve">503030 500 mAh protected LiPo (retail reference)</t>
  </si>
  <si>
    <t xml:space="preserve">https://www.walmart.com/ip/seot/5362991161</t>
  </si>
  <si>
    <t xml:space="preserve">Shipping and brokerage to Canada (forum reports)</t>
  </si>
  <si>
    <t xml:space="preserve">https://forum.kicad.info/t/alternatives-to-jlcpcb-or-pcbway-for-canadian-hobbyist/61624</t>
  </si>
  <si>
    <t xml:space="preserve">CBSA: courier imports from outside the US/Mexico (CAD 20 threshold)</t>
  </si>
  <si>
    <t xml:space="preserve">https://www.cbsa-asfc.gc.ca/services/cusma-aceum/lvs-efv-eng.html</t>
  </si>
  <si>
    <t xml:space="preserve">USD/CAD, October 2026</t>
  </si>
  <si>
    <t xml:space="preserve">https://moneyexchangerate.org/currencyexchange/usd/cad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</si>
</sst>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0"/>
    <numFmt numFmtId="167" formatCode="0.00"/>
    <numFmt numFmtId="168" formatCode="0.0%"/>
    <numFmt numFmtId="169" formatCode="\$0.0000"/>
    <numFmt numFmtId="170" formatCode="#,##0"/>
    <numFmt numFmtId="171" formatCode="\$#,##0;&quot;($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u val="single"/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3F6B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8EA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B3F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jlcpcb.com/help/article/pcb-assembly-price" TargetMode="External"/><Relationship Id="rId2" Type="http://schemas.openxmlformats.org/officeDocument/2006/relationships/hyperlink" Target="https://techoverflow.net/2024/04/09/jlcpcb-pcba-assembly-price-overview/" TargetMode="External"/><Relationship Id="rId3" Type="http://schemas.openxmlformats.org/officeDocument/2006/relationships/hyperlink" Target="https://jlcpcb.com/blog/free-assembly-for-1-6-layer-pcbs-and-discounts-on-8-20-layer-pcba" TargetMode="External"/><Relationship Id="rId4" Type="http://schemas.openxmlformats.org/officeDocument/2006/relationships/hyperlink" Target="https://www.lcsc.com/product-detail/WiFi-Modules_Espressif-Systems-ESP32-C3-WROOM-02-N4_C2934560.html" TargetMode="External"/><Relationship Id="rId5" Type="http://schemas.openxmlformats.org/officeDocument/2006/relationships/hyperlink" Target="https://www.lcsc.com/product-image/C110926.html" TargetMode="External"/><Relationship Id="rId6" Type="http://schemas.openxmlformats.org/officeDocument/2006/relationships/hyperlink" Target="https://lcsc.com/product-detail/USB-Connectors_Korean-Hroparts-Elec-TYPE-C-31-M-12_C165948.html" TargetMode="External"/><Relationship Id="rId7" Type="http://schemas.openxmlformats.org/officeDocument/2006/relationships/hyperlink" Target="https://lcsc.com/product-detail/FFC-FPC-Flat-Flexible-Connector-Assemblies_HRS-Hirose-FH12-30S-0-5SH-55_C506793.html" TargetMode="External"/><Relationship Id="rId8" Type="http://schemas.openxmlformats.org/officeDocument/2006/relationships/hyperlink" Target="https://jlcpcb.com/partdetail/C7519" TargetMode="External"/><Relationship Id="rId9" Type="http://schemas.openxmlformats.org/officeDocument/2006/relationships/hyperlink" Target="https://buydisplay.com/blue-128x64-0-96-inch-oled-display-top-contact-connector-fpc-ssd1306" TargetMode="External"/><Relationship Id="rId10" Type="http://schemas.openxmlformats.org/officeDocument/2006/relationships/hyperlink" Target="https://www.walmart.com/ip/seot/5362991161" TargetMode="External"/><Relationship Id="rId11" Type="http://schemas.openxmlformats.org/officeDocument/2006/relationships/hyperlink" Target="https://forum.kicad.info/t/alternatives-to-jlcpcb-or-pcbway-for-canadian-hobbyist/61624" TargetMode="External"/><Relationship Id="rId12" Type="http://schemas.openxmlformats.org/officeDocument/2006/relationships/hyperlink" Target="https://www.cbsa-asfc.gc.ca/services/cusma-aceum/lvs-efv-eng.html" TargetMode="External"/><Relationship Id="rId13" Type="http://schemas.openxmlformats.org/officeDocument/2006/relationships/hyperlink" Target="https://moneyexchangerate.org/currencyexchange/usd/ca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 t="s">
        <v>2</v>
      </c>
      <c r="C4" s="4" t="s">
        <v>3</v>
      </c>
    </row>
    <row r="5" customFormat="false" ht="15" hidden="false" customHeight="false" outlineLevel="0" collapsed="false">
      <c r="A5" s="5" t="s">
        <v>4</v>
      </c>
      <c r="B5" s="6" t="n">
        <f aca="false">Prototypes!B17</f>
        <v>188.639496428571</v>
      </c>
      <c r="C5" s="6" t="n">
        <f aca="false">Prototypes!C17</f>
        <v>264.095295</v>
      </c>
    </row>
    <row r="6" customFormat="false" ht="15" hidden="false" customHeight="false" outlineLevel="0" collapsed="false">
      <c r="A6" s="7" t="s">
        <v>5</v>
      </c>
      <c r="B6" s="6" t="n">
        <f aca="false">Prototypes!B18</f>
        <v>37.7278992857143</v>
      </c>
      <c r="C6" s="6" t="n">
        <f aca="false">Prototypes!C18</f>
        <v>52.819059</v>
      </c>
    </row>
    <row r="7" customFormat="false" ht="15" hidden="false" customHeight="false" outlineLevel="0" collapsed="false">
      <c r="A7" s="5" t="s">
        <v>6</v>
      </c>
      <c r="B7" s="6" t="n">
        <f aca="false">Prototypes!D17</f>
        <v>268.700421428571</v>
      </c>
      <c r="C7" s="6" t="n">
        <f aca="false">Prototypes!E17</f>
        <v>376.18059</v>
      </c>
    </row>
    <row r="8" customFormat="false" ht="15" hidden="false" customHeight="false" outlineLevel="0" collapsed="false">
      <c r="A8" s="7" t="s">
        <v>5</v>
      </c>
      <c r="B8" s="6" t="n">
        <f aca="false">Prototypes!D18</f>
        <v>26.8700421428571</v>
      </c>
      <c r="C8" s="6" t="n">
        <f aca="false">Prototypes!E18</f>
        <v>37.618059</v>
      </c>
    </row>
    <row r="9" customFormat="false" ht="15" hidden="false" customHeight="false" outlineLevel="0" collapsed="false">
      <c r="A9" s="5" t="s">
        <v>7</v>
      </c>
      <c r="B9" s="6" t="n">
        <f aca="false">'Per unit'!B14</f>
        <v>11.717685</v>
      </c>
      <c r="C9" s="6" t="n">
        <f aca="false">'Per unit'!C14</f>
        <v>16.404759</v>
      </c>
    </row>
    <row r="10" customFormat="false" ht="15" hidden="false" customHeight="false" outlineLevel="0" collapsed="false">
      <c r="A10" s="5" t="s">
        <v>8</v>
      </c>
      <c r="B10" s="6" t="n">
        <f aca="false">'Per unit'!D14</f>
        <v>8.025885</v>
      </c>
      <c r="C10" s="6" t="n">
        <f aca="false">'Per unit'!E14</f>
        <v>11.236239</v>
      </c>
    </row>
    <row r="12" customFormat="false" ht="15" hidden="false" customHeight="false" outlineLevel="0" collapsed="false">
      <c r="A12" s="7" t="s">
        <v>9</v>
      </c>
      <c r="B12" s="8" t="n">
        <f aca="false">Prototypes!B4</f>
        <v>5</v>
      </c>
    </row>
    <row r="13" customFormat="false" ht="15" hidden="false" customHeight="false" outlineLevel="0" collapsed="false">
      <c r="A13" s="7" t="s">
        <v>10</v>
      </c>
      <c r="B13" s="8" t="n">
        <f aca="false">Prototypes!D4</f>
        <v>10</v>
      </c>
    </row>
    <row r="14" customFormat="false" ht="15" hidden="false" customHeight="false" outlineLevel="0" collapsed="false">
      <c r="A14" s="7" t="s">
        <v>11</v>
      </c>
      <c r="B14" s="9" t="n">
        <f aca="false">Inputs!$B$5</f>
        <v>1.4</v>
      </c>
    </row>
    <row r="15" customFormat="false" ht="15" hidden="false" customHeight="false" outlineLevel="0" collapsed="false">
      <c r="A15" s="7" t="s">
        <v>12</v>
      </c>
      <c r="B15" s="10" t="n">
        <f aca="false">Inputs!$B$6</f>
        <v>0.05</v>
      </c>
    </row>
    <row r="17" customFormat="false" ht="15" hidden="false" customHeight="false" outlineLevel="0" collapsed="false">
      <c r="A17" s="5" t="s">
        <v>13</v>
      </c>
    </row>
    <row r="18" customFormat="false" ht="15" hidden="false" customHeight="false" outlineLevel="0" collapsed="false">
      <c r="A18" s="11" t="s">
        <v>14</v>
      </c>
    </row>
    <row r="19" customFormat="false" ht="15" hidden="false" customHeight="false" outlineLevel="0" collapsed="false">
      <c r="A19" s="7" t="s">
        <v>15</v>
      </c>
    </row>
    <row r="20" customFormat="false" ht="15" hidden="false" customHeight="false" outlineLevel="0" collapsed="false">
      <c r="A20" s="12" t="s">
        <v>16</v>
      </c>
    </row>
    <row r="21" customFormat="false" ht="15" hidden="false" customHeight="false" outlineLevel="0" collapsed="false">
      <c r="A21" s="13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4" customFormat="false" ht="15" hidden="false" customHeight="false" outlineLevel="0" collapsed="false">
      <c r="A4" s="3" t="s">
        <v>23</v>
      </c>
      <c r="B4" s="4" t="s">
        <v>24</v>
      </c>
      <c r="C4" s="4" t="s">
        <v>25</v>
      </c>
    </row>
    <row r="5" customFormat="false" ht="15" hidden="false" customHeight="false" outlineLevel="0" collapsed="false">
      <c r="A5" s="7" t="s">
        <v>26</v>
      </c>
      <c r="B5" s="14" t="n">
        <v>1.4</v>
      </c>
      <c r="C5" s="2" t="s">
        <v>27</v>
      </c>
    </row>
    <row r="6" customFormat="false" ht="15" hidden="false" customHeight="false" outlineLevel="0" collapsed="false">
      <c r="A6" s="7" t="s">
        <v>12</v>
      </c>
      <c r="B6" s="15" t="n">
        <v>0.05</v>
      </c>
      <c r="C6" s="2" t="s">
        <v>28</v>
      </c>
    </row>
    <row r="7" customFormat="false" ht="15" hidden="false" customHeight="false" outlineLevel="0" collapsed="false">
      <c r="A7" s="7" t="s">
        <v>29</v>
      </c>
      <c r="B7" s="16" t="n">
        <v>15</v>
      </c>
      <c r="C7" s="2" t="s">
        <v>30</v>
      </c>
    </row>
    <row r="8" customFormat="false" ht="15" hidden="false" customHeight="false" outlineLevel="0" collapsed="false">
      <c r="A8" s="7" t="s">
        <v>31</v>
      </c>
      <c r="B8" s="17" t="n">
        <v>2</v>
      </c>
      <c r="C8" s="2" t="s">
        <v>32</v>
      </c>
    </row>
    <row r="10" customFormat="false" ht="15" hidden="false" customHeight="false" outlineLevel="0" collapsed="false">
      <c r="A10" s="5" t="s">
        <v>33</v>
      </c>
    </row>
    <row r="11" customFormat="false" ht="15" hidden="false" customHeight="false" outlineLevel="0" collapsed="false">
      <c r="A11" s="7" t="s">
        <v>34</v>
      </c>
      <c r="B11" s="16" t="n">
        <v>8</v>
      </c>
      <c r="C11" s="2" t="s">
        <v>35</v>
      </c>
    </row>
    <row r="12" customFormat="false" ht="15" hidden="false" customHeight="false" outlineLevel="0" collapsed="false">
      <c r="A12" s="7" t="s">
        <v>36</v>
      </c>
      <c r="B12" s="16" t="n">
        <v>1.5</v>
      </c>
      <c r="C12" s="2" t="s">
        <v>35</v>
      </c>
    </row>
    <row r="13" customFormat="false" ht="15" hidden="false" customHeight="false" outlineLevel="0" collapsed="false">
      <c r="A13" s="7" t="s">
        <v>37</v>
      </c>
      <c r="B13" s="17" t="n">
        <v>8</v>
      </c>
      <c r="C13" s="2" t="s">
        <v>38</v>
      </c>
    </row>
    <row r="14" customFormat="false" ht="15" hidden="false" customHeight="false" outlineLevel="0" collapsed="false">
      <c r="A14" s="7" t="s">
        <v>39</v>
      </c>
      <c r="B14" s="16" t="n">
        <v>3</v>
      </c>
      <c r="C14" s="2" t="s">
        <v>40</v>
      </c>
    </row>
    <row r="15" customFormat="false" ht="15" hidden="false" customHeight="false" outlineLevel="0" collapsed="false">
      <c r="A15" s="7" t="s">
        <v>41</v>
      </c>
      <c r="B15" s="16" t="n">
        <v>3.5</v>
      </c>
      <c r="C15" s="2" t="s">
        <v>42</v>
      </c>
    </row>
    <row r="16" customFormat="false" ht="15" hidden="false" customHeight="false" outlineLevel="0" collapsed="false">
      <c r="A16" s="7" t="s">
        <v>43</v>
      </c>
      <c r="B16" s="16" t="n">
        <v>25</v>
      </c>
      <c r="C16" s="2" t="s">
        <v>44</v>
      </c>
    </row>
    <row r="17" customFormat="false" ht="15" hidden="false" customHeight="false" outlineLevel="0" collapsed="false">
      <c r="A17" s="7" t="s">
        <v>45</v>
      </c>
      <c r="B17" s="17" t="n">
        <v>165</v>
      </c>
      <c r="C17" s="2" t="s">
        <v>46</v>
      </c>
    </row>
    <row r="18" customFormat="false" ht="15" hidden="false" customHeight="false" outlineLevel="0" collapsed="false">
      <c r="A18" s="7" t="s">
        <v>47</v>
      </c>
      <c r="B18" s="18" t="n">
        <v>0.0017</v>
      </c>
      <c r="C18" s="2" t="s">
        <v>48</v>
      </c>
    </row>
    <row r="19" customFormat="false" ht="15" hidden="false" customHeight="false" outlineLevel="0" collapsed="false">
      <c r="A19" s="7" t="s">
        <v>49</v>
      </c>
      <c r="B19" s="17" t="n">
        <v>4</v>
      </c>
      <c r="C19" s="2" t="s">
        <v>50</v>
      </c>
    </row>
    <row r="20" customFormat="false" ht="15" hidden="false" customHeight="false" outlineLevel="0" collapsed="false">
      <c r="A20" s="7" t="s">
        <v>51</v>
      </c>
      <c r="B20" s="18" t="n">
        <v>0.0173</v>
      </c>
      <c r="C20" s="2" t="s">
        <v>42</v>
      </c>
    </row>
    <row r="22" customFormat="false" ht="15" hidden="false" customHeight="false" outlineLevel="0" collapsed="false">
      <c r="A22" s="5" t="s">
        <v>52</v>
      </c>
    </row>
    <row r="23" customFormat="false" ht="15" hidden="false" customHeight="false" outlineLevel="0" collapsed="false">
      <c r="A23" s="7" t="s">
        <v>53</v>
      </c>
      <c r="B23" s="16" t="n">
        <v>4</v>
      </c>
      <c r="C23" s="2" t="s">
        <v>54</v>
      </c>
    </row>
    <row r="24" customFormat="false" ht="15" hidden="false" customHeight="false" outlineLevel="0" collapsed="false">
      <c r="A24" s="7" t="s">
        <v>55</v>
      </c>
      <c r="B24" s="16" t="n">
        <v>6</v>
      </c>
      <c r="C24" s="2" t="s">
        <v>56</v>
      </c>
    </row>
    <row r="25" customFormat="false" ht="15" hidden="false" customHeight="false" outlineLevel="0" collapsed="false">
      <c r="A25" s="7" t="s">
        <v>57</v>
      </c>
      <c r="B25" s="16" t="n">
        <v>0.25</v>
      </c>
      <c r="C25" s="2" t="s">
        <v>56</v>
      </c>
    </row>
    <row r="26" customFormat="false" ht="15" hidden="false" customHeight="false" outlineLevel="0" collapsed="false">
      <c r="A26" s="7" t="s">
        <v>58</v>
      </c>
      <c r="B26" s="16" t="n">
        <v>0.08</v>
      </c>
      <c r="C26" s="2" t="s">
        <v>56</v>
      </c>
    </row>
    <row r="28" customFormat="false" ht="15" hidden="false" customHeight="false" outlineLevel="0" collapsed="false">
      <c r="A28" s="5" t="s">
        <v>59</v>
      </c>
    </row>
    <row r="29" customFormat="false" ht="15" hidden="false" customHeight="false" outlineLevel="0" collapsed="false">
      <c r="A29" s="7" t="s">
        <v>60</v>
      </c>
      <c r="B29" s="16" t="n">
        <v>25</v>
      </c>
      <c r="C29" s="2" t="s">
        <v>61</v>
      </c>
    </row>
    <row r="30" customFormat="false" ht="15" hidden="false" customHeight="false" outlineLevel="0" collapsed="false">
      <c r="A30" s="7" t="s">
        <v>62</v>
      </c>
      <c r="B30" s="16" t="n">
        <v>15</v>
      </c>
      <c r="C30" s="2" t="s">
        <v>56</v>
      </c>
    </row>
    <row r="31" customFormat="false" ht="15" hidden="false" customHeight="false" outlineLevel="0" collapsed="false">
      <c r="A31" s="7" t="s">
        <v>63</v>
      </c>
      <c r="B31" s="16" t="n">
        <v>4</v>
      </c>
      <c r="C31" s="2" t="s">
        <v>56</v>
      </c>
    </row>
    <row r="32" customFormat="false" ht="15" hidden="false" customHeight="false" outlineLevel="0" collapsed="false">
      <c r="A32" s="7" t="s">
        <v>64</v>
      </c>
      <c r="B32" s="16" t="n">
        <v>0.6</v>
      </c>
      <c r="C32" s="2" t="s">
        <v>65</v>
      </c>
    </row>
    <row r="33" customFormat="false" ht="15" hidden="false" customHeight="false" outlineLevel="0" collapsed="false">
      <c r="A33" s="7" t="s">
        <v>66</v>
      </c>
      <c r="B33" s="16" t="n">
        <v>0.2</v>
      </c>
      <c r="C33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6" min="4" style="0" width="13"/>
    <col collapsed="false" customWidth="true" hidden="false" outlineLevel="0" max="7" min="7" style="0" width="11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15" hidden="false" customHeight="false" outlineLevel="0" collapsed="false">
      <c r="A4" s="3" t="s">
        <v>69</v>
      </c>
      <c r="B4" s="4" t="s">
        <v>70</v>
      </c>
      <c r="C4" s="4" t="s">
        <v>71</v>
      </c>
      <c r="D4" s="4" t="s">
        <v>72</v>
      </c>
      <c r="E4" s="4" t="s">
        <v>73</v>
      </c>
      <c r="F4" s="4" t="s">
        <v>74</v>
      </c>
      <c r="G4" s="4" t="s">
        <v>75</v>
      </c>
      <c r="H4" s="4" t="s">
        <v>25</v>
      </c>
    </row>
    <row r="5" customFormat="false" ht="15" hidden="false" customHeight="false" outlineLevel="0" collapsed="false">
      <c r="A5" s="7" t="s">
        <v>76</v>
      </c>
      <c r="B5" s="7" t="s">
        <v>77</v>
      </c>
      <c r="C5" s="7" t="s">
        <v>78</v>
      </c>
      <c r="D5" s="16" t="n">
        <v>3.4</v>
      </c>
      <c r="E5" s="16" t="n">
        <v>2.6</v>
      </c>
      <c r="F5" s="16" t="n">
        <v>2.09</v>
      </c>
      <c r="G5" s="7" t="s">
        <v>79</v>
      </c>
    </row>
    <row r="6" customFormat="false" ht="15" hidden="false" customHeight="false" outlineLevel="0" collapsed="false">
      <c r="A6" s="7" t="s">
        <v>80</v>
      </c>
      <c r="B6" s="7" t="s">
        <v>81</v>
      </c>
      <c r="C6" s="7" t="s">
        <v>82</v>
      </c>
      <c r="D6" s="16" t="n">
        <v>0.57</v>
      </c>
      <c r="E6" s="16" t="n">
        <v>0.39</v>
      </c>
      <c r="F6" s="16" t="n">
        <v>0.36</v>
      </c>
      <c r="G6" s="7" t="s">
        <v>79</v>
      </c>
    </row>
    <row r="7" customFormat="false" ht="15" hidden="false" customHeight="false" outlineLevel="0" collapsed="false">
      <c r="A7" s="7" t="s">
        <v>83</v>
      </c>
      <c r="B7" s="7" t="s">
        <v>84</v>
      </c>
      <c r="C7" s="7" t="s">
        <v>85</v>
      </c>
      <c r="D7" s="16" t="n">
        <v>0.72</v>
      </c>
      <c r="E7" s="16" t="n">
        <v>0.62</v>
      </c>
      <c r="F7" s="16" t="n">
        <v>0.5</v>
      </c>
      <c r="G7" s="7" t="s">
        <v>86</v>
      </c>
    </row>
    <row r="8" customFormat="false" ht="15" hidden="false" customHeight="false" outlineLevel="0" collapsed="false">
      <c r="A8" s="7" t="s">
        <v>87</v>
      </c>
      <c r="B8" s="7" t="s">
        <v>88</v>
      </c>
      <c r="C8" s="7" t="s">
        <v>89</v>
      </c>
      <c r="D8" s="16" t="n">
        <v>0.2</v>
      </c>
      <c r="E8" s="16" t="n">
        <v>0.15</v>
      </c>
      <c r="F8" s="16" t="n">
        <v>0.11</v>
      </c>
      <c r="G8" s="7" t="s">
        <v>86</v>
      </c>
    </row>
    <row r="9" customFormat="false" ht="15" hidden="false" customHeight="false" outlineLevel="0" collapsed="false">
      <c r="A9" s="7" t="s">
        <v>90</v>
      </c>
      <c r="B9" s="7" t="s">
        <v>91</v>
      </c>
      <c r="C9" s="7" t="s">
        <v>92</v>
      </c>
      <c r="D9" s="16" t="n">
        <v>0.18</v>
      </c>
      <c r="E9" s="16" t="n">
        <v>0.13</v>
      </c>
      <c r="F9" s="16" t="n">
        <v>0.1</v>
      </c>
      <c r="G9" s="7" t="s">
        <v>79</v>
      </c>
    </row>
    <row r="10" customFormat="false" ht="15" hidden="false" customHeight="false" outlineLevel="0" collapsed="false">
      <c r="A10" s="7" t="s">
        <v>93</v>
      </c>
      <c r="B10" s="7" t="s">
        <v>94</v>
      </c>
      <c r="C10" s="7" t="s">
        <v>95</v>
      </c>
      <c r="D10" s="16" t="n">
        <v>0.12</v>
      </c>
      <c r="E10" s="16" t="n">
        <v>0.09</v>
      </c>
      <c r="F10" s="16" t="n">
        <v>0.07</v>
      </c>
      <c r="G10" s="7" t="s">
        <v>86</v>
      </c>
    </row>
    <row r="11" customFormat="false" ht="15" hidden="false" customHeight="false" outlineLevel="0" collapsed="false">
      <c r="A11" s="7" t="s">
        <v>96</v>
      </c>
      <c r="B11" s="7" t="s">
        <v>97</v>
      </c>
      <c r="C11" s="7" t="s">
        <v>98</v>
      </c>
      <c r="D11" s="16" t="n">
        <v>0.06</v>
      </c>
      <c r="E11" s="16" t="n">
        <v>0.05</v>
      </c>
      <c r="F11" s="16" t="n">
        <v>0.04</v>
      </c>
      <c r="G11" s="7" t="s">
        <v>86</v>
      </c>
    </row>
    <row r="12" customFormat="false" ht="15" hidden="false" customHeight="false" outlineLevel="0" collapsed="false">
      <c r="A12" s="7" t="s">
        <v>99</v>
      </c>
      <c r="B12" s="7" t="s">
        <v>100</v>
      </c>
      <c r="C12" s="7" t="s">
        <v>101</v>
      </c>
      <c r="D12" s="16" t="n">
        <v>0.06</v>
      </c>
      <c r="E12" s="16" t="n">
        <v>0.05</v>
      </c>
      <c r="F12" s="16" t="n">
        <v>0.04</v>
      </c>
      <c r="G12" s="7" t="s">
        <v>86</v>
      </c>
    </row>
    <row r="13" customFormat="false" ht="15" hidden="false" customHeight="false" outlineLevel="0" collapsed="false">
      <c r="A13" s="7" t="s">
        <v>102</v>
      </c>
      <c r="B13" s="7" t="s">
        <v>103</v>
      </c>
      <c r="C13" s="7" t="s">
        <v>104</v>
      </c>
      <c r="D13" s="16" t="n">
        <v>0.1</v>
      </c>
      <c r="E13" s="16" t="n">
        <v>0.06</v>
      </c>
      <c r="F13" s="16" t="n">
        <v>0.04</v>
      </c>
      <c r="G13" s="7" t="s">
        <v>86</v>
      </c>
    </row>
    <row r="14" customFormat="false" ht="15" hidden="false" customHeight="false" outlineLevel="0" collapsed="false">
      <c r="B14" s="5" t="s">
        <v>105</v>
      </c>
      <c r="D14" s="19" t="n">
        <f aca="false">SUM(D5:D13)</f>
        <v>5.41</v>
      </c>
      <c r="E14" s="19" t="n">
        <f aca="false">SUM(E5:E13)</f>
        <v>4.14</v>
      </c>
      <c r="F14" s="19" t="n">
        <f aca="false">SUM(F5:F13)</f>
        <v>3.35</v>
      </c>
    </row>
    <row r="16" customFormat="false" ht="15" hidden="false" customHeight="false" outlineLevel="0" collapsed="false">
      <c r="A16" s="3" t="s">
        <v>106</v>
      </c>
      <c r="B16" s="4" t="s">
        <v>70</v>
      </c>
      <c r="C16" s="4"/>
      <c r="D16" s="4" t="s">
        <v>107</v>
      </c>
      <c r="E16" s="4" t="s">
        <v>73</v>
      </c>
      <c r="F16" s="4" t="s">
        <v>74</v>
      </c>
      <c r="G16" s="4"/>
      <c r="H16" s="4" t="s">
        <v>25</v>
      </c>
    </row>
    <row r="17" customFormat="false" ht="15" hidden="false" customHeight="false" outlineLevel="0" collapsed="false">
      <c r="A17" s="7" t="s">
        <v>108</v>
      </c>
      <c r="B17" s="7" t="s">
        <v>109</v>
      </c>
      <c r="D17" s="16" t="n">
        <v>2.49</v>
      </c>
      <c r="E17" s="16" t="n">
        <v>2.23</v>
      </c>
      <c r="F17" s="16" t="n">
        <v>1.7</v>
      </c>
      <c r="H17" s="2" t="s">
        <v>110</v>
      </c>
    </row>
    <row r="18" customFormat="false" ht="15" hidden="false" customHeight="false" outlineLevel="0" collapsed="false">
      <c r="A18" s="7" t="s">
        <v>111</v>
      </c>
      <c r="B18" s="7" t="s">
        <v>112</v>
      </c>
      <c r="D18" s="16" t="n">
        <v>6</v>
      </c>
      <c r="E18" s="16" t="n">
        <v>2.5</v>
      </c>
      <c r="F18" s="16" t="n">
        <v>1.4</v>
      </c>
      <c r="H18" s="2" t="s">
        <v>113</v>
      </c>
    </row>
    <row r="19" customFormat="false" ht="15" hidden="false" customHeight="false" outlineLevel="0" collapsed="false">
      <c r="A19" s="7" t="s">
        <v>114</v>
      </c>
      <c r="B19" s="7" t="s">
        <v>115</v>
      </c>
      <c r="D19" s="16" t="n">
        <v>0.45</v>
      </c>
      <c r="E19" s="16" t="n">
        <v>0.45</v>
      </c>
      <c r="F19" s="16" t="n">
        <v>0.45</v>
      </c>
      <c r="H19" s="2" t="s">
        <v>116</v>
      </c>
    </row>
    <row r="20" customFormat="false" ht="15" hidden="false" customHeight="false" outlineLevel="0" collapsed="false">
      <c r="A20" s="7" t="s">
        <v>117</v>
      </c>
      <c r="B20" s="7" t="s">
        <v>118</v>
      </c>
      <c r="D20" s="16" t="n">
        <v>0.15</v>
      </c>
      <c r="E20" s="16" t="n">
        <v>0.1</v>
      </c>
      <c r="F20" s="16" t="n">
        <v>0.06</v>
      </c>
      <c r="H20" s="2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3" customFormat="false" ht="15" hidden="false" customHeight="false" outlineLevel="0" collapsed="false">
      <c r="A3" s="3"/>
      <c r="B3" s="4" t="s">
        <v>121</v>
      </c>
      <c r="C3" s="4" t="s">
        <v>122</v>
      </c>
      <c r="D3" s="4" t="s">
        <v>123</v>
      </c>
      <c r="E3" s="4" t="s">
        <v>124</v>
      </c>
    </row>
    <row r="4" customFormat="false" ht="15" hidden="false" customHeight="false" outlineLevel="0" collapsed="false">
      <c r="A4" s="5" t="s">
        <v>125</v>
      </c>
      <c r="B4" s="17" t="n">
        <v>5</v>
      </c>
      <c r="D4" s="17" t="n">
        <v>10</v>
      </c>
    </row>
    <row r="5" customFormat="false" ht="15" hidden="false" customHeight="false" outlineLevel="0" collapsed="false">
      <c r="A5" s="7" t="s">
        <v>126</v>
      </c>
      <c r="B5" s="20" t="n">
        <f aca="false">$B$4*Parts!$D$14</f>
        <v>27.05</v>
      </c>
      <c r="C5" s="20" t="n">
        <f aca="false">B5*Inputs!$B$5</f>
        <v>37.87</v>
      </c>
      <c r="D5" s="20" t="n">
        <f aca="false">$D$4*Parts!$D$14</f>
        <v>54.1</v>
      </c>
      <c r="E5" s="20" t="n">
        <f aca="false">D5*Inputs!$B$5</f>
        <v>75.74</v>
      </c>
    </row>
    <row r="6" customFormat="false" ht="15" hidden="false" customHeight="false" outlineLevel="0" collapsed="false">
      <c r="A6" s="7" t="s">
        <v>127</v>
      </c>
      <c r="B6" s="20" t="n">
        <f aca="false">$B$4*(Inputs!$B$17*Inputs!$B$18+Inputs!$B$19*Inputs!$B$20)</f>
        <v>1.7485</v>
      </c>
      <c r="C6" s="20" t="n">
        <f aca="false">B6*Inputs!$B$5</f>
        <v>2.4479</v>
      </c>
      <c r="D6" s="20" t="n">
        <f aca="false">$D$4*(Inputs!$B$17*Inputs!$B$18+Inputs!$B$19*Inputs!$B$20)</f>
        <v>3.497</v>
      </c>
      <c r="E6" s="20" t="n">
        <f aca="false">D6*Inputs!$B$5</f>
        <v>4.8958</v>
      </c>
    </row>
    <row r="7" customFormat="false" ht="15" hidden="false" customHeight="false" outlineLevel="0" collapsed="false">
      <c r="A7" s="7" t="s">
        <v>128</v>
      </c>
      <c r="B7" s="6" t="n">
        <f aca="false">Inputs!$B$23</f>
        <v>4</v>
      </c>
      <c r="C7" s="20" t="n">
        <f aca="false">B7*Inputs!$B$5</f>
        <v>5.6</v>
      </c>
      <c r="D7" s="6" t="n">
        <f aca="false">Inputs!$B$24</f>
        <v>6</v>
      </c>
      <c r="E7" s="20" t="n">
        <f aca="false">D7*Inputs!$B$5</f>
        <v>8.4</v>
      </c>
    </row>
    <row r="8" customFormat="false" ht="15" hidden="false" customHeight="false" outlineLevel="0" collapsed="false">
      <c r="A8" s="7" t="s">
        <v>129</v>
      </c>
      <c r="B8" s="20" t="n">
        <f aca="false">Inputs!$B$11+Inputs!$B$12+Inputs!$B$13*Inputs!$B$14+Inputs!$B$15</f>
        <v>37</v>
      </c>
      <c r="C8" s="20" t="n">
        <f aca="false">B8*Inputs!$B$5</f>
        <v>51.8</v>
      </c>
      <c r="D8" s="20" t="n">
        <f aca="false">Inputs!$B$11+Inputs!$B$12+Inputs!$B$13*Inputs!$B$14+Inputs!$B$15</f>
        <v>37</v>
      </c>
      <c r="E8" s="20" t="n">
        <f aca="false">D8*Inputs!$B$5</f>
        <v>51.8</v>
      </c>
    </row>
    <row r="9" customFormat="false" ht="15" hidden="false" customHeight="false" outlineLevel="0" collapsed="false">
      <c r="A9" s="7" t="s">
        <v>130</v>
      </c>
      <c r="B9" s="20" t="n">
        <f aca="false">$B$4*Parts!$D$17</f>
        <v>12.45</v>
      </c>
      <c r="C9" s="20" t="n">
        <f aca="false">B9*Inputs!$B$5</f>
        <v>17.43</v>
      </c>
      <c r="D9" s="20" t="n">
        <f aca="false">$D$4*Parts!$D$17</f>
        <v>24.9</v>
      </c>
      <c r="E9" s="20" t="n">
        <f aca="false">D9*Inputs!$B$5</f>
        <v>34.86</v>
      </c>
    </row>
    <row r="10" customFormat="false" ht="15" hidden="false" customHeight="false" outlineLevel="0" collapsed="false">
      <c r="A10" s="7" t="s">
        <v>131</v>
      </c>
      <c r="B10" s="20" t="n">
        <f aca="false">$B$4*Parts!$D$18</f>
        <v>30</v>
      </c>
      <c r="C10" s="20" t="n">
        <f aca="false">B10*Inputs!$B$5</f>
        <v>42</v>
      </c>
      <c r="D10" s="20" t="n">
        <f aca="false">$D$4*Parts!$D$18</f>
        <v>60</v>
      </c>
      <c r="E10" s="20" t="n">
        <f aca="false">D10*Inputs!$B$5</f>
        <v>84</v>
      </c>
    </row>
    <row r="11" customFormat="false" ht="15" hidden="false" customHeight="false" outlineLevel="0" collapsed="false">
      <c r="A11" s="7" t="s">
        <v>132</v>
      </c>
      <c r="B11" s="20" t="n">
        <f aca="false">$B$4*(Parts!$D$19+Parts!$D$20)</f>
        <v>3</v>
      </c>
      <c r="C11" s="20" t="n">
        <f aca="false">B11*Inputs!$B$5</f>
        <v>4.2</v>
      </c>
      <c r="D11" s="20" t="n">
        <f aca="false">$D$4*(Parts!$D$19+Parts!$D$20)</f>
        <v>6</v>
      </c>
      <c r="E11" s="20" t="n">
        <f aca="false">D11*Inputs!$B$5</f>
        <v>8.4</v>
      </c>
    </row>
    <row r="12" customFormat="false" ht="15" hidden="false" customHeight="false" outlineLevel="0" collapsed="false">
      <c r="A12" s="7" t="s">
        <v>133</v>
      </c>
      <c r="B12" s="6" t="n">
        <f aca="false">Inputs!$B$29</f>
        <v>25</v>
      </c>
      <c r="C12" s="20" t="n">
        <f aca="false">B12*Inputs!$B$5</f>
        <v>35</v>
      </c>
      <c r="D12" s="6" t="n">
        <f aca="false">Inputs!$B$29</f>
        <v>25</v>
      </c>
      <c r="E12" s="20" t="n">
        <f aca="false">D12*Inputs!$B$5</f>
        <v>35</v>
      </c>
    </row>
    <row r="13" customFormat="false" ht="15" hidden="false" customHeight="false" outlineLevel="0" collapsed="false">
      <c r="A13" s="7" t="s">
        <v>134</v>
      </c>
      <c r="B13" s="6" t="n">
        <f aca="false">Inputs!$B$30</f>
        <v>15</v>
      </c>
      <c r="C13" s="20" t="n">
        <f aca="false">B13*Inputs!$B$5</f>
        <v>21</v>
      </c>
      <c r="D13" s="6" t="n">
        <f aca="false">Inputs!$B$30</f>
        <v>15</v>
      </c>
      <c r="E13" s="20" t="n">
        <f aca="false">D13*Inputs!$B$5</f>
        <v>21</v>
      </c>
    </row>
    <row r="14" customFormat="false" ht="15" hidden="false" customHeight="false" outlineLevel="0" collapsed="false">
      <c r="A14" s="7" t="s">
        <v>135</v>
      </c>
      <c r="B14" s="6" t="n">
        <f aca="false">Inputs!$B$31</f>
        <v>4</v>
      </c>
      <c r="C14" s="20" t="n">
        <f aca="false">B14*Inputs!$B$5</f>
        <v>5.6</v>
      </c>
      <c r="D14" s="6" t="n">
        <f aca="false">Inputs!$B$31</f>
        <v>4</v>
      </c>
      <c r="E14" s="20" t="n">
        <f aca="false">D14*Inputs!$B$5</f>
        <v>5.6</v>
      </c>
    </row>
    <row r="15" customFormat="false" ht="15" hidden="false" customHeight="false" outlineLevel="0" collapsed="false">
      <c r="A15" s="7" t="s">
        <v>12</v>
      </c>
      <c r="B15" s="20" t="n">
        <f aca="false">Inputs!$B$6*SUM(B5:B14)</f>
        <v>7.962425</v>
      </c>
      <c r="C15" s="20" t="n">
        <f aca="false">B15*Inputs!$B$5</f>
        <v>11.147395</v>
      </c>
      <c r="D15" s="20" t="n">
        <f aca="false">Inputs!$B$6*SUM(D5:D14)</f>
        <v>11.77485</v>
      </c>
      <c r="E15" s="20" t="n">
        <f aca="false">D15*Inputs!$B$5</f>
        <v>16.48479</v>
      </c>
    </row>
    <row r="16" customFormat="false" ht="15" hidden="false" customHeight="false" outlineLevel="0" collapsed="false">
      <c r="A16" s="7" t="s">
        <v>136</v>
      </c>
      <c r="B16" s="20" t="n">
        <f aca="false">Inputs!$B$8*Inputs!$B$7/Inputs!$B$5</f>
        <v>21.4285714285714</v>
      </c>
      <c r="C16" s="20" t="n">
        <f aca="false">B16*Inputs!$B$5</f>
        <v>30</v>
      </c>
      <c r="D16" s="20" t="n">
        <f aca="false">Inputs!$B$8*Inputs!$B$7/Inputs!$B$5</f>
        <v>21.4285714285714</v>
      </c>
      <c r="E16" s="20" t="n">
        <f aca="false">D16*Inputs!$B$5</f>
        <v>30</v>
      </c>
    </row>
    <row r="17" customFormat="false" ht="15" hidden="false" customHeight="false" outlineLevel="0" collapsed="false">
      <c r="A17" s="5" t="s">
        <v>137</v>
      </c>
      <c r="B17" s="19" t="n">
        <f aca="false">SUM(B5:B16)</f>
        <v>188.639496428571</v>
      </c>
      <c r="C17" s="19" t="n">
        <f aca="false">SUM(C5:C16)</f>
        <v>264.095295</v>
      </c>
      <c r="D17" s="19" t="n">
        <f aca="false">SUM(D5:D16)</f>
        <v>268.700421428571</v>
      </c>
      <c r="E17" s="19" t="n">
        <f aca="false">SUM(E5:E16)</f>
        <v>376.18059</v>
      </c>
    </row>
    <row r="18" customFormat="false" ht="15" hidden="false" customHeight="false" outlineLevel="0" collapsed="false">
      <c r="A18" s="5" t="s">
        <v>138</v>
      </c>
      <c r="B18" s="21" t="n">
        <f aca="false">IFERROR(B17/$B$4,0)</f>
        <v>37.7278992857143</v>
      </c>
      <c r="C18" s="21" t="n">
        <f aca="false">IFERROR(C17/$B$4,0)</f>
        <v>52.819059</v>
      </c>
      <c r="D18" s="21" t="n">
        <f aca="false">IFERROR(D17/$D$4,0)</f>
        <v>26.8700421428571</v>
      </c>
      <c r="E18" s="21" t="n">
        <f aca="false">IFERROR(E17/$D$4,0)</f>
        <v>37.618059</v>
      </c>
    </row>
    <row r="20" customFormat="false" ht="15" hidden="false" customHeight="false" outlineLevel="0" collapsed="false">
      <c r="A20" s="2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1" t="s">
        <v>140</v>
      </c>
    </row>
    <row r="2" customFormat="false" ht="15" hidden="false" customHeight="false" outlineLevel="0" collapsed="false">
      <c r="A2" s="2" t="s">
        <v>141</v>
      </c>
    </row>
    <row r="3" customFormat="false" ht="26.85" hidden="false" customHeight="false" outlineLevel="0" collapsed="false">
      <c r="A3" s="3"/>
      <c r="B3" s="4" t="s">
        <v>142</v>
      </c>
      <c r="C3" s="4" t="s">
        <v>143</v>
      </c>
      <c r="D3" s="4" t="s">
        <v>144</v>
      </c>
      <c r="E3" s="4" t="s">
        <v>145</v>
      </c>
    </row>
    <row r="4" customFormat="false" ht="15" hidden="false" customHeight="false" outlineLevel="0" collapsed="false">
      <c r="A4" s="5" t="s">
        <v>146</v>
      </c>
      <c r="B4" s="22" t="n">
        <v>100</v>
      </c>
      <c r="D4" s="22" t="n">
        <v>1000</v>
      </c>
    </row>
    <row r="5" customFormat="false" ht="15" hidden="false" customHeight="false" outlineLevel="0" collapsed="false">
      <c r="A5" s="7" t="s">
        <v>126</v>
      </c>
      <c r="B5" s="6" t="n">
        <f aca="false">Parts!$E$14</f>
        <v>4.14</v>
      </c>
      <c r="C5" s="20" t="n">
        <f aca="false">B5*Inputs!$B$5</f>
        <v>5.796</v>
      </c>
      <c r="D5" s="6" t="n">
        <f aca="false">Parts!$F$14</f>
        <v>3.35</v>
      </c>
      <c r="E5" s="20" t="n">
        <f aca="false">D5*Inputs!$B$5</f>
        <v>4.69</v>
      </c>
    </row>
    <row r="6" customFormat="false" ht="15" hidden="false" customHeight="false" outlineLevel="0" collapsed="false">
      <c r="A6" s="7" t="s">
        <v>147</v>
      </c>
      <c r="B6" s="6" t="n">
        <f aca="false">Inputs!$B$25</f>
        <v>0.25</v>
      </c>
      <c r="C6" s="20" t="n">
        <f aca="false">B6*Inputs!$B$5</f>
        <v>0.35</v>
      </c>
      <c r="D6" s="6" t="n">
        <f aca="false">Inputs!$B$26</f>
        <v>0.08</v>
      </c>
      <c r="E6" s="20" t="n">
        <f aca="false">D6*Inputs!$B$5</f>
        <v>0.112</v>
      </c>
    </row>
    <row r="7" customFormat="false" ht="15" hidden="false" customHeight="false" outlineLevel="0" collapsed="false">
      <c r="A7" s="7" t="s">
        <v>127</v>
      </c>
      <c r="B7" s="20" t="n">
        <f aca="false">Inputs!$B$17*Inputs!$B$18+Inputs!$B$19*Inputs!$B$20</f>
        <v>0.3497</v>
      </c>
      <c r="C7" s="20" t="n">
        <f aca="false">B7*Inputs!$B$5</f>
        <v>0.48958</v>
      </c>
      <c r="D7" s="20" t="n">
        <f aca="false">Inputs!$B$17*Inputs!$B$18+Inputs!$B$19*Inputs!$B$20</f>
        <v>0.3497</v>
      </c>
      <c r="E7" s="20" t="n">
        <f aca="false">D7*Inputs!$B$5</f>
        <v>0.48958</v>
      </c>
    </row>
    <row r="8" customFormat="false" ht="15" hidden="false" customHeight="false" outlineLevel="0" collapsed="false">
      <c r="A8" s="7" t="s">
        <v>148</v>
      </c>
      <c r="B8" s="20" t="n">
        <f aca="false">IFERROR((Inputs!$B$16+Inputs!$B$12+Inputs!$B$13*Inputs!$B$14+Inputs!$B$15)/$B$4,0)</f>
        <v>0.54</v>
      </c>
      <c r="C8" s="20" t="n">
        <f aca="false">B8*Inputs!$B$5</f>
        <v>0.756</v>
      </c>
      <c r="D8" s="20" t="n">
        <f aca="false">IFERROR((Inputs!$B$16+Inputs!$B$12+Inputs!$B$13*Inputs!$B$14+Inputs!$B$15)/$D$4,0)</f>
        <v>0.054</v>
      </c>
      <c r="E8" s="20" t="n">
        <f aca="false">D8*Inputs!$B$5</f>
        <v>0.0756</v>
      </c>
    </row>
    <row r="9" customFormat="false" ht="15" hidden="false" customHeight="false" outlineLevel="0" collapsed="false">
      <c r="A9" s="7" t="s">
        <v>108</v>
      </c>
      <c r="B9" s="6" t="n">
        <f aca="false">Parts!$E$17</f>
        <v>2.23</v>
      </c>
      <c r="C9" s="20" t="n">
        <f aca="false">B9*Inputs!$B$5</f>
        <v>3.122</v>
      </c>
      <c r="D9" s="6" t="n">
        <f aca="false">Parts!$F$17</f>
        <v>1.7</v>
      </c>
      <c r="E9" s="20" t="n">
        <f aca="false">D9*Inputs!$B$5</f>
        <v>2.38</v>
      </c>
    </row>
    <row r="10" customFormat="false" ht="15" hidden="false" customHeight="false" outlineLevel="0" collapsed="false">
      <c r="A10" s="7" t="s">
        <v>111</v>
      </c>
      <c r="B10" s="6" t="n">
        <f aca="false">Parts!$E$18</f>
        <v>2.5</v>
      </c>
      <c r="C10" s="20" t="n">
        <f aca="false">B10*Inputs!$B$5</f>
        <v>3.5</v>
      </c>
      <c r="D10" s="6" t="n">
        <f aca="false">Parts!$F$18</f>
        <v>1.4</v>
      </c>
      <c r="E10" s="20" t="n">
        <f aca="false">D10*Inputs!$B$5</f>
        <v>1.96</v>
      </c>
    </row>
    <row r="11" customFormat="false" ht="15" hidden="false" customHeight="false" outlineLevel="0" collapsed="false">
      <c r="A11" s="7" t="s">
        <v>149</v>
      </c>
      <c r="B11" s="20" t="n">
        <f aca="false">Parts!$E$19+Parts!$E$20</f>
        <v>0.55</v>
      </c>
      <c r="C11" s="20" t="n">
        <f aca="false">B11*Inputs!$B$5</f>
        <v>0.77</v>
      </c>
      <c r="D11" s="20" t="n">
        <f aca="false">Parts!$F$19+Parts!$F$20</f>
        <v>0.51</v>
      </c>
      <c r="E11" s="20" t="n">
        <f aca="false">D11*Inputs!$B$5</f>
        <v>0.714</v>
      </c>
    </row>
    <row r="12" customFormat="false" ht="15" hidden="false" customHeight="false" outlineLevel="0" collapsed="false">
      <c r="A12" s="7" t="s">
        <v>150</v>
      </c>
      <c r="B12" s="6" t="n">
        <f aca="false">Inputs!$B$32</f>
        <v>0.6</v>
      </c>
      <c r="C12" s="20" t="n">
        <f aca="false">B12*Inputs!$B$5</f>
        <v>0.84</v>
      </c>
      <c r="D12" s="6" t="n">
        <f aca="false">Inputs!$B$33</f>
        <v>0.2</v>
      </c>
      <c r="E12" s="20" t="n">
        <f aca="false">D12*Inputs!$B$5</f>
        <v>0.28</v>
      </c>
    </row>
    <row r="13" customFormat="false" ht="15" hidden="false" customHeight="false" outlineLevel="0" collapsed="false">
      <c r="A13" s="7" t="s">
        <v>12</v>
      </c>
      <c r="B13" s="20" t="n">
        <f aca="false">Inputs!$B$6*SUM(B5:B12)</f>
        <v>0.557985</v>
      </c>
      <c r="C13" s="20" t="n">
        <f aca="false">B13*Inputs!$B$5</f>
        <v>0.781179</v>
      </c>
      <c r="D13" s="20" t="n">
        <f aca="false">Inputs!$B$6*SUM(D5:D12)</f>
        <v>0.382185</v>
      </c>
      <c r="E13" s="20" t="n">
        <f aca="false">D13*Inputs!$B$5</f>
        <v>0.535059</v>
      </c>
    </row>
    <row r="14" customFormat="false" ht="15" hidden="false" customHeight="false" outlineLevel="0" collapsed="false">
      <c r="A14" s="5" t="s">
        <v>151</v>
      </c>
      <c r="B14" s="19" t="n">
        <f aca="false">SUM(B5:B13)</f>
        <v>11.717685</v>
      </c>
      <c r="C14" s="19" t="n">
        <f aca="false">SUM(C5:C13)</f>
        <v>16.404759</v>
      </c>
      <c r="D14" s="19" t="n">
        <f aca="false">SUM(D5:D13)</f>
        <v>8.025885</v>
      </c>
      <c r="E14" s="19" t="n">
        <f aca="false">SUM(E5:E13)</f>
        <v>11.236239</v>
      </c>
    </row>
    <row r="15" customFormat="false" ht="15" hidden="false" customHeight="false" outlineLevel="0" collapsed="false">
      <c r="A15" s="5" t="s">
        <v>152</v>
      </c>
      <c r="B15" s="23" t="n">
        <f aca="false">B14*$B$4</f>
        <v>1171.7685</v>
      </c>
      <c r="C15" s="23" t="n">
        <f aca="false">C14*$B$4</f>
        <v>1640.4759</v>
      </c>
      <c r="D15" s="23" t="n">
        <f aca="false">D14*$D$4</f>
        <v>8025.885</v>
      </c>
      <c r="E15" s="23" t="n">
        <f aca="false">E14*$D$4</f>
        <v>11236.239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153</v>
      </c>
    </row>
    <row r="3" customFormat="false" ht="15" hidden="false" customHeight="false" outlineLevel="0" collapsed="false">
      <c r="A3" s="3" t="s">
        <v>154</v>
      </c>
      <c r="B3" s="4" t="s">
        <v>155</v>
      </c>
    </row>
    <row r="4" customFormat="false" ht="15" hidden="false" customHeight="false" outlineLevel="0" collapsed="false">
      <c r="A4" s="7" t="s">
        <v>156</v>
      </c>
      <c r="B4" s="24" t="s">
        <v>157</v>
      </c>
    </row>
    <row r="5" customFormat="false" ht="15" hidden="false" customHeight="false" outlineLevel="0" collapsed="false">
      <c r="A5" s="7" t="s">
        <v>158</v>
      </c>
      <c r="B5" s="24" t="s">
        <v>159</v>
      </c>
    </row>
    <row r="6" customFormat="false" ht="15" hidden="false" customHeight="false" outlineLevel="0" collapsed="false">
      <c r="A6" s="7" t="s">
        <v>160</v>
      </c>
      <c r="B6" s="24" t="s">
        <v>161</v>
      </c>
    </row>
    <row r="7" customFormat="false" ht="15" hidden="false" customHeight="false" outlineLevel="0" collapsed="false">
      <c r="A7" s="7" t="s">
        <v>162</v>
      </c>
      <c r="B7" s="24" t="s">
        <v>163</v>
      </c>
    </row>
    <row r="8" customFormat="false" ht="15" hidden="false" customHeight="false" outlineLevel="0" collapsed="false">
      <c r="A8" s="7" t="s">
        <v>164</v>
      </c>
      <c r="B8" s="24" t="s">
        <v>165</v>
      </c>
    </row>
    <row r="9" customFormat="false" ht="15" hidden="false" customHeight="false" outlineLevel="0" collapsed="false">
      <c r="A9" s="7" t="s">
        <v>166</v>
      </c>
      <c r="B9" s="24" t="s">
        <v>167</v>
      </c>
    </row>
    <row r="10" customFormat="false" ht="15" hidden="false" customHeight="false" outlineLevel="0" collapsed="false">
      <c r="A10" s="7" t="s">
        <v>168</v>
      </c>
      <c r="B10" s="24" t="s">
        <v>169</v>
      </c>
    </row>
    <row r="11" customFormat="false" ht="15" hidden="false" customHeight="false" outlineLevel="0" collapsed="false">
      <c r="A11" s="7" t="s">
        <v>170</v>
      </c>
      <c r="B11" s="24" t="s">
        <v>171</v>
      </c>
    </row>
    <row r="12" customFormat="false" ht="15" hidden="false" customHeight="false" outlineLevel="0" collapsed="false">
      <c r="A12" s="7" t="s">
        <v>172</v>
      </c>
      <c r="B12" s="24" t="s">
        <v>173</v>
      </c>
    </row>
    <row r="13" customFormat="false" ht="15" hidden="false" customHeight="false" outlineLevel="0" collapsed="false">
      <c r="A13" s="7" t="s">
        <v>174</v>
      </c>
      <c r="B13" s="24" t="s">
        <v>175</v>
      </c>
    </row>
    <row r="14" customFormat="false" ht="15" hidden="false" customHeight="false" outlineLevel="0" collapsed="false">
      <c r="A14" s="7" t="s">
        <v>176</v>
      </c>
      <c r="B14" s="24" t="s">
        <v>177</v>
      </c>
    </row>
    <row r="15" customFormat="false" ht="15" hidden="false" customHeight="false" outlineLevel="0" collapsed="false">
      <c r="A15" s="7" t="s">
        <v>178</v>
      </c>
      <c r="B15" s="24" t="s">
        <v>179</v>
      </c>
    </row>
    <row r="16" customFormat="false" ht="15" hidden="false" customHeight="false" outlineLevel="0" collapsed="false">
      <c r="A16" s="7" t="s">
        <v>180</v>
      </c>
      <c r="B16" s="24" t="s">
        <v>181</v>
      </c>
    </row>
  </sheetData>
  <hyperlinks>
    <hyperlink ref="B4" r:id="rId1" display="https://jlcpcb.com/help/article/pcb-assembly-price"/>
    <hyperlink ref="B5" r:id="rId2" display="https://techoverflow.net/2024/04/09/jlcpcb-pcba-assembly-price-overview/"/>
    <hyperlink ref="B6" r:id="rId3" display="https://jlcpcb.com/blog/free-assembly-for-1-6-layer-pcbs-and-discounts-on-8-20-layer-pcba"/>
    <hyperlink ref="B7" r:id="rId4" display="https://www.lcsc.com/product-detail/WiFi-Modules_Espressif-Systems-ESP32-C3-WROOM-02-N4_C2934560.html"/>
    <hyperlink ref="B8" r:id="rId5" display="https://www.lcsc.com/product-image/C110926.html"/>
    <hyperlink ref="B9" r:id="rId6" display="https://lcsc.com/product-detail/USB-Connectors_Korean-Hroparts-Elec-TYPE-C-31-M-12_C165948.html"/>
    <hyperlink ref="B10" r:id="rId7" display="https://lcsc.com/product-detail/FFC-FPC-Flat-Flexible-Connector-Assemblies_HRS-Hirose-FH12-30S-0-5SH-55_C506793.html"/>
    <hyperlink ref="B11" r:id="rId8" display="https://jlcpcb.com/partdetail/C7519"/>
    <hyperlink ref="B12" r:id="rId9" display="https://buydisplay.com/blue-128x64-0-96-inch-oled-display-top-contact-connector-fpc-ssd1306"/>
    <hyperlink ref="B13" r:id="rId10" display="https://www.walmart.com/ip/seot/5362991161"/>
    <hyperlink ref="B14" r:id="rId11" display="https://forum.kicad.info/t/alternatives-to-jlcpcb-or-pcbway-for-canadian-hobbyist/61624"/>
    <hyperlink ref="B15" r:id="rId12" display="https://www.cbsa-asfc.gc.ca/services/cusma-aceum/lvs-efv-eng.html"/>
    <hyperlink ref="B16" r:id="rId13" display="https://moneyexchangerate.org/currencyexchange/usd/ca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2026-10-30T11:21:00Z</dcterms:created>
  <dc:creator>openpyxl</dc:creator>
  <dc:description/>
  <dc:language>en-US</dc:language>
  <cp:lastModifiedBy/>
  <dcterms:modified xsi:type="dcterms:W3CDTF">2026-10-30T11:21:00Z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